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S-DUAL-DRIVE\EXCEL TRAINING\"/>
    </mc:Choice>
  </mc:AlternateContent>
  <xr:revisionPtr revIDLastSave="0" documentId="13_ncr:1_{8754DBD2-3102-45D8-B25A-912EB9D53AC9}" xr6:coauthVersionLast="47" xr6:coauthVersionMax="47" xr10:uidLastSave="{00000000-0000-0000-0000-000000000000}"/>
  <bookViews>
    <workbookView xWindow="-98" yWindow="-98" windowWidth="16395" windowHeight="10395" tabRatio="724" xr2:uid="{42CC68D1-D775-46C1-B122-486ED38AD2C1}"/>
  </bookViews>
  <sheets>
    <sheet name="DESCRIPTION" sheetId="5" r:id="rId1"/>
    <sheet name="HR_Master_Roster" sheetId="1" r:id="rId2"/>
    <sheet name="System_Access_Dump" sheetId="2" r:id="rId3"/>
    <sheet name="UAR_Reconciliation" sheetId="3" r:id="rId4"/>
    <sheet name="Audit_Summary_SignOff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/>
  <c r="D13" i="4"/>
  <c r="D19" i="4"/>
  <c r="B2" i="3"/>
  <c r="E3" i="3"/>
  <c r="E4" i="3"/>
  <c r="E5" i="3"/>
  <c r="E6" i="3"/>
  <c r="D3" i="3"/>
  <c r="D4" i="3"/>
  <c r="D5" i="3"/>
  <c r="D6" i="3"/>
  <c r="D7" i="3"/>
  <c r="C3" i="3"/>
  <c r="C4" i="3"/>
  <c r="C5" i="3"/>
  <c r="C6" i="3"/>
  <c r="C7" i="3"/>
  <c r="C2" i="3"/>
  <c r="B3" i="3"/>
  <c r="F3" i="3" s="1"/>
  <c r="B4" i="3"/>
  <c r="F4" i="3" s="1"/>
  <c r="B5" i="3"/>
  <c r="F5" i="3" s="1"/>
  <c r="B6" i="3"/>
  <c r="F6" i="3" s="1"/>
  <c r="B7" i="3"/>
  <c r="A3" i="3"/>
  <c r="A4" i="3"/>
  <c r="A5" i="3"/>
  <c r="A6" i="3"/>
  <c r="A7" i="3"/>
  <c r="A2" i="3"/>
  <c r="D2" i="3" l="1"/>
  <c r="F2" i="3"/>
  <c r="H3" i="3" a="1"/>
  <c r="G3" i="3"/>
  <c r="H4" i="3" a="1"/>
  <c r="G4" i="3"/>
  <c r="H5" i="3" a="1"/>
  <c r="G5" i="3"/>
  <c r="H6" i="3" a="1"/>
  <c r="G6" i="3"/>
  <c r="H2" i="3" a="1"/>
  <c r="G2" i="3"/>
  <c r="F7" i="3"/>
  <c r="E7" i="3"/>
  <c r="D17" i="4" l="1"/>
  <c r="D16" i="4"/>
  <c r="D14" i="4"/>
  <c r="D15" i="4"/>
  <c r="G7" i="3"/>
  <c r="H7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<sst xmlns="http://schemas.openxmlformats.org/spreadsheetml/2006/main" count="132" uniqueCount="111">
  <si>
    <t>Emp_ID</t>
  </si>
  <si>
    <t>Full_Name</t>
  </si>
  <si>
    <t>Department</t>
  </si>
  <si>
    <t>HR_Status</t>
  </si>
  <si>
    <t>Termination_Date</t>
  </si>
  <si>
    <t>EMP-101</t>
  </si>
  <si>
    <t>Sarah Jenkins</t>
  </si>
  <si>
    <t>Finance</t>
  </si>
  <si>
    <t>Active</t>
  </si>
  <si>
    <t>[Blank]</t>
  </si>
  <si>
    <t>EMP-102</t>
  </si>
  <si>
    <t>Marcus Vance</t>
  </si>
  <si>
    <t>Engineering</t>
  </si>
  <si>
    <t>EMP-103</t>
  </si>
  <si>
    <t>David Miller</t>
  </si>
  <si>
    <t>Sales</t>
  </si>
  <si>
    <t>Terminated</t>
  </si>
  <si>
    <t>EMP-104</t>
  </si>
  <si>
    <t>Elena Rostova</t>
  </si>
  <si>
    <t>Accounting</t>
  </si>
  <si>
    <t>EMP-105</t>
  </si>
  <si>
    <t>James Chen</t>
  </si>
  <si>
    <t>Operations</t>
  </si>
  <si>
    <t>System_ID</t>
  </si>
  <si>
    <t>User_Account</t>
  </si>
  <si>
    <t>Assigned_Role</t>
  </si>
  <si>
    <t>Last_Login_Date</t>
  </si>
  <si>
    <t>SYS-001</t>
  </si>
  <si>
    <t>sjenkins</t>
  </si>
  <si>
    <t>Finance_User</t>
  </si>
  <si>
    <t>SYS-002</t>
  </si>
  <si>
    <t>mvance</t>
  </si>
  <si>
    <t>Dev_Admin</t>
  </si>
  <si>
    <t>SYS-003</t>
  </si>
  <si>
    <t>dmiller</t>
  </si>
  <si>
    <t>Financial_Controller</t>
  </si>
  <si>
    <t>SYS-004</t>
  </si>
  <si>
    <t>erostova</t>
  </si>
  <si>
    <t>ERP_Admin</t>
  </si>
  <si>
    <t>SYS-005</t>
  </si>
  <si>
    <t>jchen</t>
  </si>
  <si>
    <t>Ops_Read</t>
  </si>
  <si>
    <t>SYS-006</t>
  </si>
  <si>
    <t>vendor_temp</t>
  </si>
  <si>
    <t>EMP-999</t>
  </si>
  <si>
    <t>Database_Admin</t>
  </si>
  <si>
    <t>System User</t>
  </si>
  <si>
    <t>Emp ID</t>
  </si>
  <si>
    <t>System Role</t>
  </si>
  <si>
    <t>HR Name</t>
  </si>
  <si>
    <t>HR Status</t>
  </si>
  <si>
    <t>Automated Risk Flag (using IFS)</t>
  </si>
  <si>
    <t>Retain</t>
  </si>
  <si>
    <t>Revoke Access</t>
  </si>
  <si>
    <t>Target System: ERP Production Database (NetSuite / SAP)</t>
  </si>
  <si>
    <t>Audit Period: Q3 2026 (July 1, 2026 – September 30, 2026)</t>
  </si>
  <si>
    <t>Review Date: September 30, 2026</t>
  </si>
  <si>
    <t>Control Owner: Andrew Maranan, Lead Access Governance Analyst</t>
  </si>
  <si>
    <t xml:space="preserve">Total Accounts Audited: </t>
  </si>
  <si>
    <t>Privileged Access Accounts:</t>
  </si>
  <si>
    <t>Terminated Users Flagged:</t>
  </si>
  <si>
    <t>Orphan Accounts Identified:</t>
  </si>
  <si>
    <t>Total Revocation Tickets Raised:</t>
  </si>
  <si>
    <t>Valid Active Accounts:</t>
  </si>
  <si>
    <t>AUDIT FINDINGS AND REMEDIATION MEMO</t>
  </si>
  <si>
    <t xml:space="preserve">Control Objective: </t>
  </si>
  <si>
    <t>Findings:</t>
  </si>
  <si>
    <t>1. Two terminated employees (EMP-103, EMP-105) retained active system access post-departure.</t>
  </si>
  <si>
    <t>Helpdesk tickets IT-8821 and IT-8822 were issued to immediately disable credentials.</t>
  </si>
  <si>
    <t>IT-8821</t>
  </si>
  <si>
    <t>2. One orphan account (EMP-999 / vendor_temp) lacked a valid HR mapping.</t>
  </si>
  <si>
    <t>Account was disabled pending vendor contract re-validation (Ticket IT-8823).</t>
  </si>
  <si>
    <t>IT-8823</t>
  </si>
  <si>
    <t>IT-8822</t>
  </si>
  <si>
    <t>Management Conclusion:</t>
  </si>
  <si>
    <t>Control Operating Effectively with Remediation in Progress.</t>
  </si>
  <si>
    <t>CONTROL OWNER SIGN-OFF</t>
  </si>
  <si>
    <t>Reviewer Name:</t>
  </si>
  <si>
    <t>Reviewer Title:</t>
  </si>
  <si>
    <t>Digital Sign-off:</t>
  </si>
  <si>
    <t>Date:</t>
  </si>
  <si>
    <t>Andrew Maranan</t>
  </si>
  <si>
    <t>IT Compliance &amp; Governance Specialist</t>
  </si>
  <si>
    <t>APPROVED - Andrew Maranan</t>
  </si>
  <si>
    <t>Audit Decision
(Dropdown)</t>
  </si>
  <si>
    <t>Automated Risk Flag (Formula)</t>
  </si>
  <si>
    <t>HR Term
Date</t>
  </si>
  <si>
    <t>Remediation
Ticket Ref</t>
  </si>
  <si>
    <t>Sign-Off
Date</t>
  </si>
  <si>
    <t>=================================================================================</t>
  </si>
  <si>
    <t>---------------------------------------------------------------------------------------------------------------------------------------</t>
  </si>
  <si>
    <t xml:space="preserve"> with least-privilege principles.</t>
  </si>
  <si>
    <t>Ensure user access to financial systems is revoked within 24 hours of employee departure and aligned</t>
  </si>
  <si>
    <t>SOX 404 ITGC USER ACCESS REVIEW SUMMARY</t>
  </si>
  <si>
    <t>TESTING METRICS SUMMARY*</t>
  </si>
  <si>
    <t>Tab Name</t>
  </si>
  <si>
    <t>Purpose</t>
  </si>
  <si>
    <t>Source Data</t>
  </si>
  <si>
    <t>1. HR_Master_Roster</t>
  </si>
  <si>
    <t>HR Source of Truth (Employee Status &amp; Departure Dates)</t>
  </si>
  <si>
    <t>HRIS / Payroll Export</t>
  </si>
  <si>
    <t>2. System_Access_Dump</t>
  </si>
  <si>
    <t>Raw System Entitlement Export (Active Directory / ERP)</t>
  </si>
  <si>
    <t>IAM / Production System Export</t>
  </si>
  <si>
    <t>3. UAR_Reconciliation</t>
  </si>
  <si>
    <t>Active Audit Reconciliation (Formulas + Risk Flags)</t>
  </si>
  <si>
    <t>Combined via Formulas</t>
  </si>
  <si>
    <t>4. Audit_Summary_SignOff</t>
  </si>
  <si>
    <t>Executive Memo &amp; Exception Dashboard for External Auditors</t>
  </si>
  <si>
    <t>Aggregated Pivot / Formulas</t>
  </si>
  <si>
    <t>*Please access the associated Readme file from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</si>
</sst>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14" fontId="1" fillId="0" borderId="0" xfId="0" applyNumberFormat="1" applyFont="1" applyAlignment="1">
      <alignment vertical="center" wrapText="1" readingOrder="1"/>
    </xf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left"/>
    </xf>
    <xf numFmtId="0" fontId="0" fillId="0" borderId="0" xfId="0" quotePrefix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m/d/yyyy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01E12-0ECF-43D8-B99E-9B3E22B13058}" name="HR_Table" displayName="HR_Table" ref="A1:E6" totalsRowShown="0" headerRowDxfId="17" dataDxfId="16">
  <autoFilter ref="A1:E6" xr:uid="{76301E12-0ECF-43D8-B99E-9B3E22B13058}"/>
  <tableColumns count="5">
    <tableColumn id="1" xr3:uid="{A42F9384-8CB6-4E0D-97C5-4F6924BE8461}" name="Emp_ID" dataDxfId="15"/>
    <tableColumn id="2" xr3:uid="{8EE7AE72-D64C-45AD-BC41-DE48CB250095}" name="Full_Name" dataDxfId="14"/>
    <tableColumn id="3" xr3:uid="{5B07A213-53CD-4ABD-84B5-C8005BEF5A3A}" name="Department" dataDxfId="13"/>
    <tableColumn id="4" xr3:uid="{3321344D-2172-43B5-90FA-BC86F2193346}" name="HR_Status" dataDxfId="12"/>
    <tableColumn id="5" xr3:uid="{4DF98089-179E-46EC-8A3A-EA8489DBF8E4}" name="Termination_D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D62DC-4F47-46AD-A31E-976CFBBC1FE0}" name="Access_Table" displayName="Access_Table" ref="A1:E7" totalsRowShown="0" headerRowDxfId="10" dataDxfId="9">
  <autoFilter ref="A1:E7" xr:uid="{931D62DC-4F47-46AD-A31E-976CFBBC1FE0}"/>
  <tableColumns count="5">
    <tableColumn id="1" xr3:uid="{E98AA41D-1B7E-49DE-82A5-9B855089052B}" name="System_ID" dataDxfId="8"/>
    <tableColumn id="2" xr3:uid="{AFA97585-AABA-498D-BB75-C512088DFBFB}" name="User_Account" dataDxfId="7"/>
    <tableColumn id="3" xr3:uid="{D321CE04-CB48-4F77-B6FD-7ED636AAD5C0}" name="Emp_ID" dataDxfId="6"/>
    <tableColumn id="4" xr3:uid="{392C386D-5CA2-4834-9ECB-F3E35C2D6E94}" name="Assigned_Role" dataDxfId="5"/>
    <tableColumn id="5" xr3:uid="{A2E04B66-8545-4823-82A2-BF599C87910F}" name="Last_Login_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AB0A-A483-4BAD-905E-A4A60FAB13A1}">
  <dimension ref="A1:C8"/>
  <sheetViews>
    <sheetView tabSelected="1" workbookViewId="0">
      <selection activeCell="A14" sqref="A14"/>
    </sheetView>
  </sheetViews>
  <sheetFormatPr defaultRowHeight="14.25" x14ac:dyDescent="0.45"/>
  <cols>
    <col min="1" max="1" width="23.53125" customWidth="1"/>
    <col min="2" max="2" width="53.06640625" customWidth="1"/>
    <col min="3" max="3" width="26.73046875" bestFit="1" customWidth="1"/>
  </cols>
  <sheetData>
    <row r="1" spans="1:3" x14ac:dyDescent="0.45">
      <c r="A1" s="16" t="s">
        <v>95</v>
      </c>
      <c r="B1" s="16" t="s">
        <v>96</v>
      </c>
      <c r="C1" s="16" t="s">
        <v>97</v>
      </c>
    </row>
    <row r="2" spans="1:3" x14ac:dyDescent="0.45">
      <c r="A2" s="15" t="s">
        <v>98</v>
      </c>
      <c r="B2" s="15" t="s">
        <v>99</v>
      </c>
      <c r="C2" s="15" t="s">
        <v>100</v>
      </c>
    </row>
    <row r="3" spans="1:3" x14ac:dyDescent="0.45">
      <c r="A3" s="15" t="s">
        <v>101</v>
      </c>
      <c r="B3" s="15" t="s">
        <v>102</v>
      </c>
      <c r="C3" s="15" t="s">
        <v>103</v>
      </c>
    </row>
    <row r="4" spans="1:3" x14ac:dyDescent="0.45">
      <c r="A4" s="15" t="s">
        <v>104</v>
      </c>
      <c r="B4" s="15" t="s">
        <v>105</v>
      </c>
      <c r="C4" s="15" t="s">
        <v>106</v>
      </c>
    </row>
    <row r="5" spans="1:3" x14ac:dyDescent="0.45">
      <c r="A5" s="15" t="s">
        <v>107</v>
      </c>
      <c r="B5" s="15" t="s">
        <v>108</v>
      </c>
      <c r="C5" s="15" t="s">
        <v>109</v>
      </c>
    </row>
    <row r="8" spans="1:3" x14ac:dyDescent="0.45">
      <c r="A8" s="19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855E-73DD-4DC2-B6D8-183181C38A22}">
  <dimension ref="A1:E6"/>
  <sheetViews>
    <sheetView workbookViewId="0">
      <selection activeCell="C12" sqref="C12"/>
    </sheetView>
  </sheetViews>
  <sheetFormatPr defaultRowHeight="14.25" x14ac:dyDescent="0.45"/>
  <cols>
    <col min="1" max="1" width="10.796875" customWidth="1"/>
    <col min="2" max="2" width="18.33203125" customWidth="1"/>
    <col min="3" max="3" width="19.86328125" customWidth="1"/>
    <col min="4" max="4" width="13.86328125" customWidth="1"/>
    <col min="5" max="5" width="19" customWidth="1"/>
  </cols>
  <sheetData>
    <row r="1" spans="1:5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x14ac:dyDescent="0.4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7" x14ac:dyDescent="0.45">
      <c r="A3" s="2" t="s">
        <v>10</v>
      </c>
      <c r="B3" s="2" t="s">
        <v>11</v>
      </c>
      <c r="C3" s="2" t="s">
        <v>12</v>
      </c>
      <c r="D3" s="2" t="s">
        <v>8</v>
      </c>
      <c r="E3" s="3" t="s">
        <v>9</v>
      </c>
    </row>
    <row r="4" spans="1:5" ht="27" x14ac:dyDescent="0.45">
      <c r="A4" s="2" t="s">
        <v>13</v>
      </c>
      <c r="B4" s="2" t="s">
        <v>14</v>
      </c>
      <c r="C4" s="2" t="s">
        <v>15</v>
      </c>
      <c r="D4" s="2" t="s">
        <v>16</v>
      </c>
      <c r="E4" s="4">
        <v>46249</v>
      </c>
    </row>
    <row r="5" spans="1:5" x14ac:dyDescent="0.45">
      <c r="A5" s="2" t="s">
        <v>17</v>
      </c>
      <c r="B5" s="2" t="s">
        <v>18</v>
      </c>
      <c r="C5" s="2" t="s">
        <v>19</v>
      </c>
      <c r="D5" s="2" t="s">
        <v>8</v>
      </c>
      <c r="E5" s="3" t="s">
        <v>9</v>
      </c>
    </row>
    <row r="6" spans="1:5" ht="27" x14ac:dyDescent="0.45">
      <c r="A6" s="2" t="s">
        <v>20</v>
      </c>
      <c r="B6" s="2" t="s">
        <v>21</v>
      </c>
      <c r="C6" s="2" t="s">
        <v>22</v>
      </c>
      <c r="D6" s="2" t="s">
        <v>16</v>
      </c>
      <c r="E6" s="4">
        <v>46204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A5D0-4574-46C9-9CC2-02986A1BA5F8}">
  <dimension ref="A1:E7"/>
  <sheetViews>
    <sheetView workbookViewId="0">
      <selection activeCell="C12" sqref="C12"/>
    </sheetView>
  </sheetViews>
  <sheetFormatPr defaultRowHeight="14.25" x14ac:dyDescent="0.45"/>
  <cols>
    <col min="1" max="1" width="15.46484375" customWidth="1"/>
    <col min="2" max="2" width="19.3984375" customWidth="1"/>
    <col min="3" max="3" width="15.53125" customWidth="1"/>
    <col min="4" max="4" width="16.46484375" customWidth="1"/>
    <col min="5" max="5" width="21.06640625" customWidth="1"/>
  </cols>
  <sheetData>
    <row r="1" spans="1:5" ht="27.75" x14ac:dyDescent="0.4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</row>
    <row r="2" spans="1:5" ht="27" x14ac:dyDescent="0.45">
      <c r="A2" s="2" t="s">
        <v>27</v>
      </c>
      <c r="B2" s="2" t="s">
        <v>28</v>
      </c>
      <c r="C2" s="2" t="s">
        <v>5</v>
      </c>
      <c r="D2" s="2" t="s">
        <v>29</v>
      </c>
      <c r="E2" s="4">
        <v>46293</v>
      </c>
    </row>
    <row r="3" spans="1:5" ht="27" x14ac:dyDescent="0.45">
      <c r="A3" s="2" t="s">
        <v>30</v>
      </c>
      <c r="B3" s="2" t="s">
        <v>31</v>
      </c>
      <c r="C3" s="2" t="s">
        <v>10</v>
      </c>
      <c r="D3" s="2" t="s">
        <v>32</v>
      </c>
      <c r="E3" s="4">
        <v>46294</v>
      </c>
    </row>
    <row r="4" spans="1:5" ht="40.5" x14ac:dyDescent="0.45">
      <c r="A4" s="2" t="s">
        <v>33</v>
      </c>
      <c r="B4" s="2" t="s">
        <v>34</v>
      </c>
      <c r="C4" s="2" t="s">
        <v>13</v>
      </c>
      <c r="D4" s="2" t="s">
        <v>35</v>
      </c>
      <c r="E4" s="4">
        <v>46285</v>
      </c>
    </row>
    <row r="5" spans="1:5" ht="27" x14ac:dyDescent="0.45">
      <c r="A5" s="2" t="s">
        <v>36</v>
      </c>
      <c r="B5" s="2" t="s">
        <v>37</v>
      </c>
      <c r="C5" s="2" t="s">
        <v>17</v>
      </c>
      <c r="D5" s="2" t="s">
        <v>38</v>
      </c>
      <c r="E5" s="4">
        <v>46290</v>
      </c>
    </row>
    <row r="6" spans="1:5" ht="27" x14ac:dyDescent="0.45">
      <c r="A6" s="2" t="s">
        <v>39</v>
      </c>
      <c r="B6" s="2" t="s">
        <v>40</v>
      </c>
      <c r="C6" s="2" t="s">
        <v>20</v>
      </c>
      <c r="D6" s="2" t="s">
        <v>41</v>
      </c>
      <c r="E6" s="4">
        <v>46213</v>
      </c>
    </row>
    <row r="7" spans="1:5" ht="27" x14ac:dyDescent="0.45">
      <c r="A7" s="2" t="s">
        <v>42</v>
      </c>
      <c r="B7" s="2" t="s">
        <v>43</v>
      </c>
      <c r="C7" s="2" t="s">
        <v>44</v>
      </c>
      <c r="D7" s="2" t="s">
        <v>45</v>
      </c>
      <c r="E7" s="4">
        <v>46280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09EA-F3DB-47AA-BA60-04F0775B3CEC}">
  <sheetPr>
    <pageSetUpPr fitToPage="1"/>
  </sheetPr>
  <dimension ref="A1:K7"/>
  <sheetViews>
    <sheetView workbookViewId="0">
      <selection activeCell="C3" sqref="C3"/>
    </sheetView>
  </sheetViews>
  <sheetFormatPr defaultRowHeight="14.25" x14ac:dyDescent="0.45"/>
  <cols>
    <col min="1" max="1" width="10.9296875" bestFit="1" customWidth="1"/>
    <col min="2" max="2" width="9.19921875" bestFit="1" customWidth="1"/>
    <col min="3" max="3" width="16.59765625" bestFit="1" customWidth="1"/>
    <col min="4" max="4" width="22.73046875" bestFit="1" customWidth="1"/>
    <col min="5" max="5" width="9.796875" bestFit="1" customWidth="1"/>
    <col min="6" max="6" width="8.9296875" style="10" bestFit="1" customWidth="1"/>
    <col min="7" max="7" width="26.86328125" bestFit="1" customWidth="1"/>
    <col min="8" max="8" width="29.6640625" hidden="1" customWidth="1"/>
    <col min="9" max="9" width="12.19921875" style="7" bestFit="1" customWidth="1"/>
    <col min="10" max="10" width="11.265625" style="7" customWidth="1"/>
    <col min="11" max="11" width="8.9296875" style="7" bestFit="1" customWidth="1"/>
  </cols>
  <sheetData>
    <row r="1" spans="1:11" ht="28.5" x14ac:dyDescent="0.45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2" t="s">
        <v>86</v>
      </c>
      <c r="G1" s="11" t="s">
        <v>85</v>
      </c>
      <c r="H1" s="11" t="s">
        <v>51</v>
      </c>
      <c r="I1" s="13" t="s">
        <v>84</v>
      </c>
      <c r="J1" s="13" t="s">
        <v>87</v>
      </c>
      <c r="K1" s="13" t="s">
        <v>88</v>
      </c>
    </row>
    <row r="2" spans="1:11" x14ac:dyDescent="0.45">
      <c r="A2" t="str">
        <f>System_Access_Dump!B2</f>
        <v>sjenkins</v>
      </c>
      <c r="B2" t="str">
        <f>System_Access_Dump!C2</f>
        <v>EMP-101</v>
      </c>
      <c r="C2" t="str">
        <f>System_Access_Dump!D2</f>
        <v>Finance_User</v>
      </c>
      <c r="D2" t="str">
        <f>_xlfn.XLOOKUP(B2, HR_Table[Emp_ID], HR_Table[Full_Name], "UNKNOWN/NO HR RECORD",0)</f>
        <v>Sarah Jenkins</v>
      </c>
      <c r="E2" t="str">
        <f>_xlfn.XLOOKUP(B2,HR_Table[Emp_ID],HR_Table[HR_Status],"UNMAPPED", 0)</f>
        <v>Active</v>
      </c>
      <c r="F2" s="10" t="str">
        <f>_xlfn.XLOOKUP(B2,HR_Table[Emp_ID],HR_Table[Termination_Date],"N/A", 0)</f>
        <v>[Blank]</v>
      </c>
      <c r="G2" t="str">
        <f>IF(E2="Terminated","CRITICAL: Terminated User Active", IF(E2="UNMAPPED", "HIGH: Orphan/Service Account", IF(AND(C2="ERP_Admin", E2="Active"), "REVIEW: Privileged Access", "PASS: Valid Access")))</f>
        <v>PASS: Valid Access</v>
      </c>
      <c r="H2" t="str" cm="1">
        <f t="array" ref="H2">_xlfn.IFS(E2="Terminated","CRITICAL: TERMINATED USER ACTIVE",E2="UNMAPPED","HIGH: Orphan/Service Account", AND(C2="ERP_Admin",E2="Active"),"REVIEW: Privileged Access", TRUE, "PASS: Valid Access")</f>
        <v>PASS: Valid Access</v>
      </c>
      <c r="I2" s="7" t="s">
        <v>52</v>
      </c>
      <c r="K2" s="10">
        <v>46295</v>
      </c>
    </row>
    <row r="3" spans="1:11" x14ac:dyDescent="0.45">
      <c r="A3" t="str">
        <f>System_Access_Dump!B3</f>
        <v>mvance</v>
      </c>
      <c r="B3" t="str">
        <f>System_Access_Dump!C3</f>
        <v>EMP-102</v>
      </c>
      <c r="C3" t="str">
        <f>System_Access_Dump!D3</f>
        <v>Dev_Admin</v>
      </c>
      <c r="D3" t="str">
        <f>_xlfn.XLOOKUP(B3, HR_Table[Emp_ID], HR_Table[Full_Name], "UNKNOWN/NO HR RECORD",0)</f>
        <v>Marcus Vance</v>
      </c>
      <c r="E3" t="str">
        <f>_xlfn.XLOOKUP(B3,HR_Table[Emp_ID],HR_Table[HR_Status],"UNMAPPED", 0)</f>
        <v>Active</v>
      </c>
      <c r="F3" s="10" t="str">
        <f>_xlfn.XLOOKUP(B3,HR_Table[Emp_ID],HR_Table[Termination_Date],"N/A", 0)</f>
        <v>[Blank]</v>
      </c>
      <c r="G3" t="str">
        <f t="shared" ref="G3:G7" si="0">IF(E3="Terminated","CRITICAL: Terminated User Active", IF(E3="UNMAPPED", "HIGH: Orphan/Service Account", IF(AND(C3="ERP_Admin", E3="Active"), "REVIEW: Privileged Access", "PASS: Valid Access")))</f>
        <v>PASS: Valid Access</v>
      </c>
      <c r="H3" t="str" cm="1">
        <f t="array" ref="H3">_xlfn.IFS(E3="Terminated","CRITICAL: TERMINATED USER ACTIVE",E3="UNMAPPED","HIGH: Orphan/Service Account", AND(C3="ERP_Admin",E3="Active"),"REVIEW: Privileged Access", TRUE, "PASS: Valid Access")</f>
        <v>PASS: Valid Access</v>
      </c>
      <c r="I3" s="7" t="s">
        <v>52</v>
      </c>
      <c r="K3" s="10">
        <v>46295</v>
      </c>
    </row>
    <row r="4" spans="1:11" x14ac:dyDescent="0.45">
      <c r="A4" t="str">
        <f>System_Access_Dump!B4</f>
        <v>dmiller</v>
      </c>
      <c r="B4" t="str">
        <f>System_Access_Dump!C4</f>
        <v>EMP-103</v>
      </c>
      <c r="C4" t="str">
        <f>System_Access_Dump!D4</f>
        <v>Financial_Controller</v>
      </c>
      <c r="D4" t="str">
        <f>_xlfn.XLOOKUP(B4, HR_Table[Emp_ID], HR_Table[Full_Name], "UNKNOWN/NO HR RECORD",0)</f>
        <v>David Miller</v>
      </c>
      <c r="E4" t="str">
        <f>_xlfn.XLOOKUP(B4,HR_Table[Emp_ID],HR_Table[HR_Status],"UNMAPPED", 0)</f>
        <v>Terminated</v>
      </c>
      <c r="F4" s="10">
        <f>_xlfn.XLOOKUP(B4,HR_Table[Emp_ID],HR_Table[Termination_Date],"N/A", 0)</f>
        <v>46249</v>
      </c>
      <c r="G4" t="str">
        <f t="shared" si="0"/>
        <v>CRITICAL: Terminated User Active</v>
      </c>
      <c r="H4" t="str" cm="1">
        <f t="array" ref="H4">_xlfn.IFS(E4="Terminated","CRITICAL: TERMINATED USER ACTIVE",E4="UNMAPPED","HIGH: Orphan/Service Account", AND(C4="ERP_Admin",E4="Active"),"REVIEW: Privileged Access", TRUE, "PASS: Valid Access")</f>
        <v>CRITICAL: TERMINATED USER ACTIVE</v>
      </c>
      <c r="I4" s="7" t="s">
        <v>53</v>
      </c>
      <c r="J4" s="7" t="s">
        <v>69</v>
      </c>
      <c r="K4" s="10">
        <v>46295</v>
      </c>
    </row>
    <row r="5" spans="1:11" x14ac:dyDescent="0.45">
      <c r="A5" t="str">
        <f>System_Access_Dump!B5</f>
        <v>erostova</v>
      </c>
      <c r="B5" t="str">
        <f>System_Access_Dump!C5</f>
        <v>EMP-104</v>
      </c>
      <c r="C5" t="str">
        <f>System_Access_Dump!D5</f>
        <v>ERP_Admin</v>
      </c>
      <c r="D5" t="str">
        <f>_xlfn.XLOOKUP(B5, HR_Table[Emp_ID], HR_Table[Full_Name], "UNKNOWN/NO HR RECORD",0)</f>
        <v>Elena Rostova</v>
      </c>
      <c r="E5" t="str">
        <f>_xlfn.XLOOKUP(B5,HR_Table[Emp_ID],HR_Table[HR_Status],"UNMAPPED", 0)</f>
        <v>Active</v>
      </c>
      <c r="F5" s="10" t="str">
        <f>_xlfn.XLOOKUP(B5,HR_Table[Emp_ID],HR_Table[Termination_Date],"N/A", 0)</f>
        <v>[Blank]</v>
      </c>
      <c r="G5" t="str">
        <f t="shared" si="0"/>
        <v>REVIEW: Privileged Access</v>
      </c>
      <c r="H5" t="str" cm="1">
        <f t="array" ref="H5">_xlfn.IFS(E5="Terminated","CRITICAL: TERMINATED USER ACTIVE",E5="UNMAPPED","HIGH: Orphan/Service Account", AND(C5="ERP_Admin",E5="Active"),"REVIEW: Privileged Access", TRUE, "PASS: Valid Access")</f>
        <v>REVIEW: Privileged Access</v>
      </c>
      <c r="I5" s="7" t="s">
        <v>52</v>
      </c>
      <c r="K5" s="10">
        <v>46295</v>
      </c>
    </row>
    <row r="6" spans="1:11" x14ac:dyDescent="0.45">
      <c r="A6" t="str">
        <f>System_Access_Dump!B6</f>
        <v>jchen</v>
      </c>
      <c r="B6" t="str">
        <f>System_Access_Dump!C6</f>
        <v>EMP-105</v>
      </c>
      <c r="C6" t="str">
        <f>System_Access_Dump!D6</f>
        <v>Ops_Read</v>
      </c>
      <c r="D6" t="str">
        <f>_xlfn.XLOOKUP(B6, HR_Table[Emp_ID], HR_Table[Full_Name], "UNKNOWN/NO HR RECORD",0)</f>
        <v>James Chen</v>
      </c>
      <c r="E6" t="str">
        <f>_xlfn.XLOOKUP(B6,HR_Table[Emp_ID],HR_Table[HR_Status],"UNMAPPED", 0)</f>
        <v>Terminated</v>
      </c>
      <c r="F6" s="10">
        <f>_xlfn.XLOOKUP(B6,HR_Table[Emp_ID],HR_Table[Termination_Date],"N/A", 0)</f>
        <v>46204</v>
      </c>
      <c r="G6" t="str">
        <f t="shared" si="0"/>
        <v>CRITICAL: Terminated User Active</v>
      </c>
      <c r="H6" t="str" cm="1">
        <f t="array" ref="H6">_xlfn.IFS(E6="Terminated","CRITICAL: TERMINATED USER ACTIVE",E6="UNMAPPED","HIGH: Orphan/Service Account", AND(C6="ERP_Admin",E6="Active"),"REVIEW: Privileged Access", TRUE, "PASS: Valid Access")</f>
        <v>CRITICAL: TERMINATED USER ACTIVE</v>
      </c>
      <c r="I6" s="7" t="s">
        <v>53</v>
      </c>
      <c r="J6" s="7" t="s">
        <v>73</v>
      </c>
      <c r="K6" s="10">
        <v>46295</v>
      </c>
    </row>
    <row r="7" spans="1:11" x14ac:dyDescent="0.45">
      <c r="A7" t="str">
        <f>System_Access_Dump!B7</f>
        <v>vendor_temp</v>
      </c>
      <c r="B7" t="str">
        <f>System_Access_Dump!C7</f>
        <v>EMP-999</v>
      </c>
      <c r="C7" t="str">
        <f>System_Access_Dump!D7</f>
        <v>Database_Admin</v>
      </c>
      <c r="D7" t="str">
        <f>_xlfn.XLOOKUP(B7, HR_Table[Emp_ID], HR_Table[Full_Name], "UNKNOWN/NO HR RECORD",0)</f>
        <v>UNKNOWN/NO HR RECORD</v>
      </c>
      <c r="E7" t="str">
        <f>_xlfn.XLOOKUP(B7,HR_Table[Emp_ID],HR_Table[HR_Status],"UNMAPPED", 0)</f>
        <v>UNMAPPED</v>
      </c>
      <c r="F7" s="10" t="str">
        <f>_xlfn.XLOOKUP(B7,HR_Table[Emp_ID],HR_Table[Termination_Date],"N/A", 0)</f>
        <v>N/A</v>
      </c>
      <c r="G7" t="str">
        <f t="shared" si="0"/>
        <v>HIGH: Orphan/Service Account</v>
      </c>
      <c r="H7" t="str" cm="1">
        <f t="array" ref="H7">_xlfn.IFS(E7="Terminated","CRITICAL: TERMINATED USER ACTIVE",E7="UNMAPPED","HIGH: Orphan/Service Account", AND(C7="ERP_Admin",E7="Active"),"REVIEW: Privileged Access", TRUE, "PASS: Valid Access")</f>
        <v>HIGH: Orphan/Service Account</v>
      </c>
      <c r="I7" s="7" t="s">
        <v>53</v>
      </c>
      <c r="J7" s="7" t="s">
        <v>72</v>
      </c>
      <c r="K7" s="10">
        <v>46295</v>
      </c>
    </row>
  </sheetData>
  <conditionalFormatting sqref="G2:G7">
    <cfRule type="containsText" dxfId="3" priority="1" operator="containsText" text="PASS">
      <formula>NOT(ISERROR(SEARCH("PASS",G2)))</formula>
    </cfRule>
    <cfRule type="containsText" dxfId="2" priority="2" operator="containsText" text="HIGH">
      <formula>NOT(ISERROR(SEARCH("HIGH",G2)))</formula>
    </cfRule>
    <cfRule type="containsText" dxfId="1" priority="3" operator="containsText" text="REVIEW">
      <formula>NOT(ISERROR(SEARCH("REVIEW",G2)))</formula>
    </cfRule>
    <cfRule type="containsText" dxfId="0" priority="4" operator="containsText" text="CRITICAL">
      <formula>NOT(ISERROR(SEARCH("CRITICAL",G2)))</formula>
    </cfRule>
  </conditionalFormatting>
  <dataValidations count="1">
    <dataValidation type="list" allowBlank="1" showInputMessage="1" showErrorMessage="1" sqref="I2:I7" xr:uid="{E63073ED-290D-4617-92A6-AF54C0236415}">
      <formula1>"Retain, Revoke Access, Downgrade Privilege, Escalated"</formula1>
    </dataValidation>
  </dataValidations>
  <printOptions horizontalCentered="1" gridLines="1"/>
  <pageMargins left="0.25" right="0.25" top="0.75" bottom="0.75" header="0.3" footer="0.3"/>
  <pageSetup scale="74" fitToHeight="0" orientation="portrait" r:id="rId1"/>
  <headerFooter>
    <oddHeader>&amp;C&amp;"+,Bold"&amp;14UAR_RECONCILIATION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27A9-373F-43A9-92DF-D608F75F2090}">
  <dimension ref="A1:K44"/>
  <sheetViews>
    <sheetView topLeftCell="A18" workbookViewId="0">
      <selection activeCell="L15" sqref="L15"/>
    </sheetView>
  </sheetViews>
  <sheetFormatPr defaultRowHeight="14.25" x14ac:dyDescent="0.45"/>
  <sheetData>
    <row r="1" spans="1:11" x14ac:dyDescent="0.45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6"/>
      <c r="K1" s="6"/>
    </row>
    <row r="2" spans="1:11" ht="15.75" x14ac:dyDescent="0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4"/>
      <c r="K2" s="14"/>
    </row>
    <row r="3" spans="1:11" x14ac:dyDescent="0.45">
      <c r="A3" s="17" t="s">
        <v>89</v>
      </c>
      <c r="B3" s="17"/>
      <c r="C3" s="17"/>
      <c r="D3" s="17"/>
      <c r="E3" s="17"/>
      <c r="F3" s="17"/>
      <c r="G3" s="17"/>
      <c r="H3" s="17"/>
      <c r="I3" s="17"/>
      <c r="J3" s="6"/>
      <c r="K3" s="6"/>
    </row>
    <row r="5" spans="1:11" x14ac:dyDescent="0.45">
      <c r="A5" t="s">
        <v>54</v>
      </c>
    </row>
    <row r="6" spans="1:11" x14ac:dyDescent="0.45">
      <c r="A6" t="s">
        <v>55</v>
      </c>
    </row>
    <row r="7" spans="1:11" x14ac:dyDescent="0.45">
      <c r="A7" t="s">
        <v>57</v>
      </c>
    </row>
    <row r="8" spans="1:11" x14ac:dyDescent="0.45">
      <c r="A8" t="s">
        <v>56</v>
      </c>
    </row>
    <row r="10" spans="1:11" x14ac:dyDescent="0.45">
      <c r="A10" s="17" t="s">
        <v>90</v>
      </c>
      <c r="B10" s="17"/>
      <c r="C10" s="17"/>
      <c r="D10" s="17"/>
      <c r="E10" s="17"/>
      <c r="F10" s="17"/>
      <c r="G10" s="17"/>
      <c r="H10" s="17"/>
      <c r="I10" s="17"/>
      <c r="J10" s="6"/>
      <c r="K10" s="6"/>
    </row>
    <row r="11" spans="1:11" x14ac:dyDescent="0.45">
      <c r="A11" s="9" t="s">
        <v>94</v>
      </c>
    </row>
    <row r="12" spans="1:11" x14ac:dyDescent="0.45">
      <c r="A12" s="17" t="s">
        <v>90</v>
      </c>
      <c r="B12" s="17"/>
      <c r="C12" s="17"/>
      <c r="D12" s="17"/>
      <c r="E12" s="17"/>
      <c r="F12" s="17"/>
      <c r="G12" s="17"/>
      <c r="H12" s="17"/>
      <c r="I12" s="17"/>
      <c r="J12" s="6"/>
      <c r="K12" s="6"/>
    </row>
    <row r="13" spans="1:11" x14ac:dyDescent="0.45">
      <c r="A13" t="s">
        <v>58</v>
      </c>
      <c r="D13" s="7">
        <f>COUNTA(Access_Table[System_ID])</f>
        <v>6</v>
      </c>
      <c r="E13" s="6"/>
    </row>
    <row r="14" spans="1:11" x14ac:dyDescent="0.45">
      <c r="A14" t="s">
        <v>63</v>
      </c>
      <c r="D14" s="7">
        <f>COUNTIF(UAR_Reconciliation!$G$2:$G$7,"PASS*" )</f>
        <v>2</v>
      </c>
      <c r="E14" s="6"/>
    </row>
    <row r="15" spans="1:11" x14ac:dyDescent="0.45">
      <c r="A15" t="s">
        <v>59</v>
      </c>
      <c r="D15" s="7">
        <f>COUNTIF(UAR_Reconciliation!$G$2:$G$7,"REVIEW*" )</f>
        <v>1</v>
      </c>
      <c r="E15" s="6"/>
    </row>
    <row r="16" spans="1:11" x14ac:dyDescent="0.45">
      <c r="A16" t="s">
        <v>60</v>
      </c>
      <c r="D16" s="7">
        <f>COUNTIF(UAR_Reconciliation!$G$2:$G$7,"CRITICAL*" )</f>
        <v>2</v>
      </c>
      <c r="E16" s="6"/>
    </row>
    <row r="17" spans="1:11" x14ac:dyDescent="0.45">
      <c r="A17" t="s">
        <v>61</v>
      </c>
      <c r="D17" s="7">
        <f>COUNTIF(UAR_Reconciliation!$G$2:$G$7,"HIGH*" )</f>
        <v>1</v>
      </c>
      <c r="E17" s="6"/>
    </row>
    <row r="18" spans="1:11" x14ac:dyDescent="0.45">
      <c r="D18" s="7"/>
    </row>
    <row r="19" spans="1:11" x14ac:dyDescent="0.45">
      <c r="A19" t="s">
        <v>62</v>
      </c>
      <c r="D19" s="7">
        <f>COUNTIF(UAR_Reconciliation!I2:I7,"Revoke Access")</f>
        <v>3</v>
      </c>
      <c r="E19" s="6"/>
    </row>
    <row r="21" spans="1:11" x14ac:dyDescent="0.45">
      <c r="A21" s="17" t="s">
        <v>90</v>
      </c>
      <c r="B21" s="17"/>
      <c r="C21" s="17"/>
      <c r="D21" s="17"/>
      <c r="E21" s="17"/>
      <c r="F21" s="17"/>
      <c r="G21" s="17"/>
      <c r="H21" s="17"/>
      <c r="I21" s="17"/>
      <c r="J21" s="6"/>
      <c r="K21" s="6"/>
    </row>
    <row r="22" spans="1:11" x14ac:dyDescent="0.45">
      <c r="A22" s="9" t="s">
        <v>64</v>
      </c>
    </row>
    <row r="23" spans="1:11" x14ac:dyDescent="0.45">
      <c r="A23" s="17" t="s">
        <v>90</v>
      </c>
      <c r="B23" s="17"/>
      <c r="C23" s="17"/>
      <c r="D23" s="17"/>
      <c r="E23" s="17"/>
      <c r="F23" s="17"/>
      <c r="G23" s="17"/>
      <c r="H23" s="17"/>
      <c r="I23" s="17"/>
      <c r="J23" s="6"/>
      <c r="K23" s="6"/>
    </row>
    <row r="24" spans="1:11" x14ac:dyDescent="0.45">
      <c r="A24" s="8" t="s">
        <v>65</v>
      </c>
    </row>
    <row r="25" spans="1:11" x14ac:dyDescent="0.45">
      <c r="A25" t="s">
        <v>92</v>
      </c>
    </row>
    <row r="26" spans="1:11" x14ac:dyDescent="0.45">
      <c r="A26" t="s">
        <v>91</v>
      </c>
    </row>
    <row r="28" spans="1:11" x14ac:dyDescent="0.45">
      <c r="A28" s="8" t="s">
        <v>66</v>
      </c>
    </row>
    <row r="29" spans="1:11" x14ac:dyDescent="0.45">
      <c r="A29" t="s">
        <v>67</v>
      </c>
    </row>
    <row r="30" spans="1:11" x14ac:dyDescent="0.45">
      <c r="A30" t="s">
        <v>68</v>
      </c>
    </row>
    <row r="32" spans="1:11" x14ac:dyDescent="0.45">
      <c r="A32" t="s">
        <v>70</v>
      </c>
    </row>
    <row r="33" spans="1:11" x14ac:dyDescent="0.45">
      <c r="A33" t="s">
        <v>71</v>
      </c>
    </row>
    <row r="35" spans="1:11" x14ac:dyDescent="0.45">
      <c r="A35" s="8" t="s">
        <v>74</v>
      </c>
    </row>
    <row r="36" spans="1:11" x14ac:dyDescent="0.45">
      <c r="A36" t="s">
        <v>75</v>
      </c>
    </row>
    <row r="38" spans="1:11" x14ac:dyDescent="0.45">
      <c r="A38" s="17" t="s">
        <v>90</v>
      </c>
      <c r="B38" s="17"/>
      <c r="C38" s="17"/>
      <c r="D38" s="17"/>
      <c r="E38" s="17"/>
      <c r="F38" s="17"/>
      <c r="G38" s="17"/>
      <c r="H38" s="17"/>
      <c r="I38" s="17"/>
      <c r="J38" s="6"/>
      <c r="K38" s="6"/>
    </row>
    <row r="39" spans="1:11" x14ac:dyDescent="0.45">
      <c r="A39" s="9" t="s">
        <v>76</v>
      </c>
    </row>
    <row r="40" spans="1:11" x14ac:dyDescent="0.45">
      <c r="A40" s="17" t="s">
        <v>90</v>
      </c>
      <c r="B40" s="17"/>
      <c r="C40" s="17"/>
      <c r="D40" s="17"/>
      <c r="E40" s="17"/>
      <c r="F40" s="17"/>
      <c r="G40" s="17"/>
      <c r="H40" s="17"/>
      <c r="I40" s="17"/>
      <c r="J40" s="6"/>
      <c r="K40" s="6"/>
    </row>
    <row r="41" spans="1:11" x14ac:dyDescent="0.45">
      <c r="A41" t="s">
        <v>77</v>
      </c>
      <c r="C41" t="s">
        <v>81</v>
      </c>
    </row>
    <row r="42" spans="1:11" x14ac:dyDescent="0.45">
      <c r="A42" t="s">
        <v>78</v>
      </c>
      <c r="C42" t="s">
        <v>82</v>
      </c>
    </row>
    <row r="43" spans="1:11" x14ac:dyDescent="0.45">
      <c r="A43" t="s">
        <v>79</v>
      </c>
      <c r="C43" t="s">
        <v>83</v>
      </c>
    </row>
    <row r="44" spans="1:11" x14ac:dyDescent="0.45">
      <c r="A44" t="s">
        <v>80</v>
      </c>
      <c r="C44" s="5">
        <v>46295</v>
      </c>
    </row>
  </sheetData>
  <mergeCells count="9">
    <mergeCell ref="A1:I1"/>
    <mergeCell ref="A3:I3"/>
    <mergeCell ref="A2:I2"/>
    <mergeCell ref="A10:I10"/>
    <mergeCell ref="A12:I12"/>
    <mergeCell ref="A21:I21"/>
    <mergeCell ref="A23:I23"/>
    <mergeCell ref="A38:I38"/>
    <mergeCell ref="A40:I40"/>
  </mergeCells>
  <pageMargins left="0.7" right="0.7" top="0.75" bottom="0.75" header="0.3" footer="0.3"/>
  <pageSetup orientation="portrait" horizontalDpi="1200" verticalDpi="1200" r:id="rId1"/>
  <headerFooter>
    <oddFooter>&amp;L&amp;"-,Bold"&amp;K0070C0*&amp;K01+000Technical Reference Note:&amp;"-,Regular" Metrics on this summary sheet are dynamically aggregated from the UAR_Reconciliation tab using structured Excel formulas (COUNTA, COUNTIF, and wildcard string matching).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DESCRIPTION</vt:lpstr>
      <vt:lpstr>HR_Master_Roster</vt:lpstr>
      <vt:lpstr>System_Access_Dump</vt:lpstr>
      <vt:lpstr>UAR_Reconciliation</vt:lpstr>
      <vt:lpstr>Audit_Summary_SignOff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A M</cp:lastModifiedBy>
  <cp:lastPrinted>2026-09-23T22:47:49Z</cp:lastPrinted>
  <dcterms:created xsi:type="dcterms:W3CDTF">2026-09-22T15:24:13Z</dcterms:created>
  <dcterms:modified xsi:type="dcterms:W3CDTF">2026-09-26T09:02:24Z</dcterms:modified>
</cp:coreProperties>
</file>